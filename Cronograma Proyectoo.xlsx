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A15\Downloads\"/>
    </mc:Choice>
  </mc:AlternateContent>
  <xr:revisionPtr revIDLastSave="0" documentId="8_{023CA3B1-1DEF-41FD-9B56-F588969CAA5B}" xr6:coauthVersionLast="47" xr6:coauthVersionMax="47" xr10:uidLastSave="{00000000-0000-0000-0000-000000000000}"/>
  <bookViews>
    <workbookView xWindow="-108" yWindow="-108" windowWidth="23256" windowHeight="13176" xr2:uid="{7CA2848C-8A7F-4626-92D7-E043A0B5F0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 s="1"/>
  <c r="E4" i="1"/>
  <c r="H5" i="1" l="1"/>
  <c r="I5" i="1" l="1"/>
  <c r="H6" i="1"/>
  <c r="J5" i="1" l="1"/>
  <c r="I6" i="1"/>
  <c r="K5" i="1" l="1"/>
  <c r="J6" i="1"/>
  <c r="L5" i="1" l="1"/>
  <c r="K6" i="1"/>
  <c r="M5" i="1" l="1"/>
  <c r="L6" i="1"/>
  <c r="N5" i="1" l="1"/>
  <c r="N6" i="1" s="1"/>
  <c r="M6" i="1"/>
</calcChain>
</file>

<file path=xl/sharedStrings.xml><?xml version="1.0" encoding="utf-8"?>
<sst xmlns="http://schemas.openxmlformats.org/spreadsheetml/2006/main" count="16" uniqueCount="16">
  <si>
    <t>TAREA</t>
  </si>
  <si>
    <t>RESPONSABLE</t>
  </si>
  <si>
    <t>PORGRESO</t>
  </si>
  <si>
    <t>INICIO</t>
  </si>
  <si>
    <t>FIN</t>
  </si>
  <si>
    <t>Manual Usuario</t>
  </si>
  <si>
    <t>Manual Tecnico</t>
  </si>
  <si>
    <t>Prueba (Checklist)</t>
  </si>
  <si>
    <t>Codigo</t>
  </si>
  <si>
    <t>Cronograma</t>
  </si>
  <si>
    <t>Jose y Joe</t>
  </si>
  <si>
    <t>Aaron</t>
  </si>
  <si>
    <t>Dannae y Nomi</t>
  </si>
  <si>
    <t>INICIO DEL PROYECTO</t>
  </si>
  <si>
    <t>Mateo, Kevin L y Brandon</t>
  </si>
  <si>
    <t>Victor y Kevin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</si>
</sst>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;@"/>
    <numFmt numFmtId="166" formatCode="ddd\,\ dd/mm/yyyy"/>
    <numFmt numFmtId="167" formatCode="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2" borderId="0" xfId="0" applyFill="1"/>
    <xf numFmtId="167" fontId="3" fillId="5" borderId="0" xfId="0" applyNumberFormat="1" applyFont="1" applyFill="1" applyAlignment="1">
      <alignment horizontal="center"/>
    </xf>
    <xf numFmtId="0" fontId="1" fillId="0" borderId="0" xfId="0" applyFont="1" applyFill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1" tint="0.499984740745262"/>
        </patternFill>
      </fill>
    </dxf>
    <dxf>
      <fill>
        <patternFill>
          <bgColor theme="8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0CC66"/>
      <color rgb="FF663300"/>
      <color rgb="FFCCFF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7A2A-EA0D-43D2-A443-5A3735126ECA}">
  <dimension ref="A4:N11"/>
  <sheetViews>
    <sheetView showGridLines="0" tabSelected="1" zoomScale="170" zoomScaleNormal="170" workbookViewId="0">
      <selection activeCell="B6" sqref="B6"/>
    </sheetView>
  </sheetViews>
  <sheetFormatPr baseColWidth="10" defaultRowHeight="14.4" x14ac:dyDescent="0.3"/>
  <cols>
    <col min="1" max="1" width="15.77734375" customWidth="1"/>
    <col min="2" max="2" width="25.21875" customWidth="1"/>
    <col min="3" max="5" width="11.77734375" customWidth="1"/>
    <col min="6" max="14" width="3.77734375" customWidth="1"/>
  </cols>
  <sheetData>
    <row r="4" spans="1:14" x14ac:dyDescent="0.3">
      <c r="E4" s="4">
        <f>D5</f>
        <v>46160</v>
      </c>
    </row>
    <row r="5" spans="1:14" x14ac:dyDescent="0.3">
      <c r="B5" s="3" t="s">
        <v>13</v>
      </c>
      <c r="C5" s="2"/>
      <c r="D5" s="5">
        <v>46160</v>
      </c>
      <c r="E5" s="5"/>
      <c r="F5" s="8"/>
      <c r="G5" s="7">
        <f>D5</f>
        <v>46160</v>
      </c>
      <c r="H5" s="7">
        <f>G5+1</f>
        <v>46161</v>
      </c>
      <c r="I5" s="7">
        <f t="shared" ref="I5:N5" si="0">H5+1</f>
        <v>46162</v>
      </c>
      <c r="J5" s="7">
        <f t="shared" si="0"/>
        <v>46163</v>
      </c>
      <c r="K5" s="7">
        <f t="shared" si="0"/>
        <v>46164</v>
      </c>
      <c r="L5" s="7">
        <f t="shared" si="0"/>
        <v>46165</v>
      </c>
      <c r="M5" s="7">
        <f t="shared" si="0"/>
        <v>46166</v>
      </c>
      <c r="N5" s="7">
        <f t="shared" si="0"/>
        <v>46167</v>
      </c>
    </row>
    <row r="6" spans="1:14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6"/>
      <c r="G6" s="1" t="str">
        <f>UPPER(LEFT(TEXT(G5,"ddd"),1))</f>
        <v>L</v>
      </c>
      <c r="H6" s="1" t="str">
        <f t="shared" ref="H6:N6" si="1">UPPER(LEFT(TEXT(H5,"ddd"),1))</f>
        <v>M</v>
      </c>
      <c r="I6" s="1" t="str">
        <f t="shared" si="1"/>
        <v>M</v>
      </c>
      <c r="J6" s="1" t="str">
        <f t="shared" si="1"/>
        <v>J</v>
      </c>
      <c r="K6" s="1" t="str">
        <f t="shared" si="1"/>
        <v>V</v>
      </c>
      <c r="L6" s="1" t="str">
        <f t="shared" si="1"/>
        <v>S</v>
      </c>
      <c r="M6" s="1" t="str">
        <f t="shared" si="1"/>
        <v>D</v>
      </c>
      <c r="N6" s="1" t="str">
        <f t="shared" si="1"/>
        <v>L</v>
      </c>
    </row>
    <row r="7" spans="1:14" x14ac:dyDescent="0.3">
      <c r="A7" s="9" t="s">
        <v>5</v>
      </c>
      <c r="B7" s="9" t="s">
        <v>12</v>
      </c>
      <c r="C7" s="10">
        <v>1</v>
      </c>
      <c r="D7" s="11">
        <v>46165</v>
      </c>
      <c r="E7" s="11">
        <v>46166</v>
      </c>
      <c r="F7" s="9"/>
      <c r="G7" s="9"/>
      <c r="H7" s="9"/>
      <c r="I7" s="9"/>
      <c r="J7" s="9"/>
      <c r="K7" s="9"/>
      <c r="L7" s="9"/>
      <c r="M7" s="9"/>
      <c r="N7" s="9"/>
    </row>
    <row r="8" spans="1:14" x14ac:dyDescent="0.3">
      <c r="A8" s="9" t="s">
        <v>6</v>
      </c>
      <c r="B8" s="9" t="s">
        <v>15</v>
      </c>
      <c r="C8" s="10">
        <v>1</v>
      </c>
      <c r="D8" s="11">
        <v>46162</v>
      </c>
      <c r="E8" s="11">
        <v>46166</v>
      </c>
      <c r="F8" s="9"/>
      <c r="G8" s="9"/>
      <c r="H8" s="9"/>
      <c r="I8" s="9"/>
      <c r="J8" s="9"/>
      <c r="K8" s="9"/>
      <c r="L8" s="9"/>
      <c r="M8" s="9"/>
      <c r="N8" s="9"/>
    </row>
    <row r="9" spans="1:14" x14ac:dyDescent="0.3">
      <c r="A9" s="9" t="s">
        <v>7</v>
      </c>
      <c r="B9" s="9" t="s">
        <v>10</v>
      </c>
      <c r="C9" s="10">
        <v>1</v>
      </c>
      <c r="D9" s="11">
        <v>46164</v>
      </c>
      <c r="E9" s="11">
        <v>46165</v>
      </c>
      <c r="F9" s="9"/>
      <c r="G9" s="9"/>
      <c r="H9" s="9"/>
      <c r="I9" s="9"/>
      <c r="J9" s="9"/>
      <c r="K9" s="9"/>
      <c r="L9" s="9"/>
      <c r="M9" s="9"/>
      <c r="N9" s="9"/>
    </row>
    <row r="10" spans="1:14" x14ac:dyDescent="0.3">
      <c r="A10" s="9" t="s">
        <v>8</v>
      </c>
      <c r="B10" s="9" t="s">
        <v>14</v>
      </c>
      <c r="C10" s="10">
        <v>1</v>
      </c>
      <c r="D10" s="11">
        <v>46161</v>
      </c>
      <c r="E10" s="11">
        <v>46164</v>
      </c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3">
      <c r="A11" s="9" t="s">
        <v>9</v>
      </c>
      <c r="B11" s="9" t="s">
        <v>11</v>
      </c>
      <c r="C11" s="10">
        <v>1</v>
      </c>
      <c r="D11" s="11">
        <v>46165</v>
      </c>
      <c r="E11" s="11">
        <v>46167</v>
      </c>
      <c r="F11" s="9"/>
      <c r="G11" s="9"/>
      <c r="H11" s="9"/>
      <c r="I11" s="9"/>
      <c r="J11" s="9"/>
      <c r="K11" s="9"/>
      <c r="L11" s="9"/>
      <c r="M11" s="9"/>
      <c r="N11" s="9"/>
    </row>
  </sheetData>
  <mergeCells count="2">
    <mergeCell ref="D5:E5"/>
    <mergeCell ref="B5:C5"/>
  </mergeCells>
  <conditionalFormatting sqref="C7:C11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{927B43C7-DC23-4A8E-AA20-D197410E4C5F}</x14:id>
        </ext>
      </extLst>
    </cfRule>
  </conditionalFormatting>
  <conditionalFormatting sqref="G7:N11">
    <cfRule type="expression" dxfId="2" priority="2">
      <formula>AND(G$5&gt;=$D7,G$5&lt;=$E7)</formula>
    </cfRule>
    <cfRule type="expression" dxfId="1" priority="1">
      <formula>AND(G$5&gt;=$D7,G$5&lt;=((($E7-$D7+1)*$C7)+$D7-1))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B43C7-DC23-4A8E-AA20-D197410E4C5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C7:C11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Romero</dc:creator>
  <cp:lastModifiedBy>Andy Romero</cp:lastModifiedBy>
  <cp:lastPrinted>2026-05-24T18:31:05Z</cp:lastPrinted>
  <dcterms:created xsi:type="dcterms:W3CDTF">2026-05-24T15:57:22Z</dcterms:created>
  <dcterms:modified xsi:type="dcterms:W3CDTF">2026-05-24T18:31:35Z</dcterms:modified>
</cp:coreProperties>
</file>